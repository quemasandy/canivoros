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5487d54501303b/"/>
    </mc:Choice>
  </mc:AlternateContent>
  <xr:revisionPtr revIDLastSave="29" documentId="8_{CCA9826A-7C52-40E2-AF65-04CA2A23EEF6}" xr6:coauthVersionLast="47" xr6:coauthVersionMax="47" xr10:uidLastSave="{9930C7A3-7D8E-4BB1-A0D0-8D2CB4487289}"/>
  <bookViews>
    <workbookView xWindow="-108" yWindow="-108" windowWidth="23256" windowHeight="12456" activeTab="3" xr2:uid="{517DB59C-C5FE-4B71-8189-C7FB4C3602A8}"/>
  </bookViews>
  <sheets>
    <sheet name="JULIO" sheetId="1" r:id="rId1"/>
    <sheet name="AGOSTO" sheetId="2" r:id="rId2"/>
    <sheet name="SEPT." sheetId="3" r:id="rId3"/>
    <sheet name="OCT.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2" i="3" l="1"/>
  <c r="L42" i="3"/>
  <c r="K42" i="3"/>
  <c r="J42" i="3"/>
  <c r="I42" i="3"/>
  <c r="H42" i="3"/>
  <c r="F42" i="3"/>
  <c r="E42" i="3"/>
  <c r="D41" i="3"/>
  <c r="C42" i="3"/>
  <c r="F31" i="1" l="1"/>
  <c r="G31" i="2"/>
  <c r="E31" i="2"/>
  <c r="D31" i="2"/>
  <c r="C31" i="2"/>
  <c r="D31" i="1"/>
</calcChain>
</file>

<file path=xl/sharedStrings.xml><?xml version="1.0" encoding="utf-8"?>
<sst xmlns="http://schemas.openxmlformats.org/spreadsheetml/2006/main" count="189" uniqueCount="103">
  <si>
    <t>CLIENTE</t>
  </si>
  <si>
    <t>CHOR. CLIENTE</t>
  </si>
  <si>
    <t>GRAN D. FINKANA</t>
  </si>
  <si>
    <t>HAM. CRIADOR KG</t>
  </si>
  <si>
    <t>FECHA</t>
  </si>
  <si>
    <t>HAM. CLIENTE Lb.</t>
  </si>
  <si>
    <t>DANIEL BASABE SOPO</t>
  </si>
  <si>
    <t>TERRANOVA</t>
  </si>
  <si>
    <t>NUC. CERDO</t>
  </si>
  <si>
    <t>NUC. SALMON</t>
  </si>
  <si>
    <t>HELLOW DOG</t>
  </si>
  <si>
    <t>HAM. ALMACEN LB</t>
  </si>
  <si>
    <t>NUC. POLLO KG</t>
  </si>
  <si>
    <t>JULIAN CEDRITOS</t>
  </si>
  <si>
    <t>GURO PETS</t>
  </si>
  <si>
    <t>JAIRO</t>
  </si>
  <si>
    <t>PROFE VANESSA</t>
  </si>
  <si>
    <t>AKITAS GERMAN</t>
  </si>
  <si>
    <t>DANIEL LOZANO</t>
  </si>
  <si>
    <t>NICOLE</t>
  </si>
  <si>
    <t>MANIMALS</t>
  </si>
  <si>
    <t>MONICA PERSEO</t>
  </si>
  <si>
    <t>NALA</t>
  </si>
  <si>
    <t>CHOR. ALMACEN LB</t>
  </si>
  <si>
    <t>DUSSAN</t>
  </si>
  <si>
    <t>GRAN DANESS ALEJANDRA</t>
  </si>
  <si>
    <t>ALEJANDRA TERRANOVA</t>
  </si>
  <si>
    <t>GEILER</t>
  </si>
  <si>
    <t>LA CALERA</t>
  </si>
  <si>
    <t>KUBIK</t>
  </si>
  <si>
    <t>ALEJANDRA OLIVA</t>
  </si>
  <si>
    <t>PAOLA GRAND</t>
  </si>
  <si>
    <t>NUCLEOS MEDELLIN</t>
  </si>
  <si>
    <t>JAVIER</t>
  </si>
  <si>
    <t>AKITAS TABIO</t>
  </si>
  <si>
    <t>DOBERMAN SOPO</t>
  </si>
  <si>
    <t>AKITAS COTA</t>
  </si>
  <si>
    <t>HERMANO XIMENA</t>
  </si>
  <si>
    <t>NALA LUCHO</t>
  </si>
  <si>
    <t>GURO</t>
  </si>
  <si>
    <t>PAOLA</t>
  </si>
  <si>
    <t>GRAN DANES ALEJANDRA</t>
  </si>
  <si>
    <t>27//08/2026</t>
  </si>
  <si>
    <t>PAOLA MEDELLIN</t>
  </si>
  <si>
    <t>FINKANA</t>
  </si>
  <si>
    <t>JULIAN Cedritos</t>
  </si>
  <si>
    <t>Total</t>
  </si>
  <si>
    <t>TOTAL</t>
  </si>
  <si>
    <t>HAM. CLIENTE FIN Lb.</t>
  </si>
  <si>
    <t>PAOLA CACHORRO DOBERMAN</t>
  </si>
  <si>
    <t>HAM. POLLO LIB.</t>
  </si>
  <si>
    <t>HAMB. POLLO CRIADOR</t>
  </si>
  <si>
    <t>JAIRO LEAL</t>
  </si>
  <si>
    <t>PRISCILA GRAN DANES</t>
  </si>
  <si>
    <t>NALA LUCHITO</t>
  </si>
  <si>
    <t>OREJAS</t>
  </si>
  <si>
    <t>ERNESTO TELLEZ</t>
  </si>
  <si>
    <t>DANIEL</t>
  </si>
  <si>
    <t>TERRANOVA QUINTAS DE</t>
  </si>
  <si>
    <t>ORIANA PEDRAZA</t>
  </si>
  <si>
    <t>GATO LA CALERA</t>
  </si>
  <si>
    <t>NICOL</t>
  </si>
  <si>
    <t>PITBULL CENTRO</t>
  </si>
  <si>
    <t>GEYLER F</t>
  </si>
  <si>
    <t>MALCRIADOS</t>
  </si>
  <si>
    <t>PAOLA GRAN DANES</t>
  </si>
  <si>
    <t>XIMENA</t>
  </si>
  <si>
    <t>CARLOS GRAND SOPO</t>
  </si>
  <si>
    <t>DANIEL SOPO</t>
  </si>
  <si>
    <t>CARLOS DOB. CHIA</t>
  </si>
  <si>
    <t>DOBERMAN MAGNO</t>
  </si>
  <si>
    <t>BUCARAMANGA</t>
  </si>
  <si>
    <t>PERSEO</t>
  </si>
  <si>
    <t>FARMAPET</t>
  </si>
  <si>
    <t>MAURICIO</t>
  </si>
  <si>
    <t>PURO AMOR</t>
  </si>
  <si>
    <t>TERRANOVA VET</t>
  </si>
  <si>
    <t>TOTAL VENTAS</t>
  </si>
  <si>
    <t>12,371,000</t>
  </si>
  <si>
    <t>MONA</t>
  </si>
  <si>
    <t>GRAND. FINKANA</t>
  </si>
  <si>
    <t>RAMON</t>
  </si>
  <si>
    <t>ORIANA</t>
  </si>
  <si>
    <t>DOB. LA CALERA</t>
  </si>
  <si>
    <t>MAURICIO PUBLICIDAD</t>
  </si>
  <si>
    <t>TERRANOVA SOPO</t>
  </si>
  <si>
    <t>SANTIAGO CALERA</t>
  </si>
  <si>
    <t>JULIAN NIEVES</t>
  </si>
  <si>
    <t>JAVIER GUEVARA</t>
  </si>
  <si>
    <t>DAVID PITBULL</t>
  </si>
  <si>
    <t>MICHAEL GANTIVA</t>
  </si>
  <si>
    <t>ALEJANDRO ENGATIVA</t>
  </si>
  <si>
    <t>DANIEL BASSABE</t>
  </si>
  <si>
    <t>DANIEL LOZAONO</t>
  </si>
  <si>
    <t>ORIANA GRAN D.</t>
  </si>
  <si>
    <t>VILLAVICENCIO BALO</t>
  </si>
  <si>
    <t>CALERA JHOANTAN</t>
  </si>
  <si>
    <t>HAM. TERN. LIB.</t>
  </si>
  <si>
    <t>HAM. CE CLIENTELb.</t>
  </si>
  <si>
    <t>HAM. CE. ALMA LB</t>
  </si>
  <si>
    <t>HAM. CE. CRIADOR KG</t>
  </si>
  <si>
    <t>CALERA LULIETH</t>
  </si>
  <si>
    <t>LAURA 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</si>
</sst>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3B85-4343-41B4-8498-9A6F3F514F26}">
  <dimension ref="A1:K35"/>
  <sheetViews>
    <sheetView zoomScale="99" workbookViewId="0">
      <selection activeCell="A8" sqref="A8:XFD8"/>
    </sheetView>
  </sheetViews>
  <sheetFormatPr baseColWidth="10" defaultRowHeight="14.4" x14ac:dyDescent="0.3"/>
  <cols>
    <col min="1" max="1" width="22.33203125" customWidth="1"/>
    <col min="2" max="2" width="17" customWidth="1"/>
    <col min="3" max="3" width="19.21875" customWidth="1"/>
    <col min="4" max="4" width="20.33203125" customWidth="1"/>
    <col min="5" max="5" width="18.5546875" customWidth="1"/>
    <col min="6" max="7" width="16.77734375" customWidth="1"/>
    <col min="8" max="8" width="16.5546875" customWidth="1"/>
    <col min="9" max="9" width="17" customWidth="1"/>
    <col min="10" max="10" width="14.33203125" customWidth="1"/>
  </cols>
  <sheetData>
    <row r="1" spans="1:10" x14ac:dyDescent="0.3">
      <c r="A1" t="s">
        <v>0</v>
      </c>
      <c r="B1" t="s">
        <v>4</v>
      </c>
      <c r="C1" t="s">
        <v>5</v>
      </c>
      <c r="D1" t="s">
        <v>11</v>
      </c>
      <c r="E1" t="s">
        <v>3</v>
      </c>
      <c r="F1" t="s">
        <v>1</v>
      </c>
      <c r="G1" t="s">
        <v>23</v>
      </c>
      <c r="H1" t="s">
        <v>12</v>
      </c>
      <c r="I1" t="s">
        <v>8</v>
      </c>
      <c r="J1" t="s">
        <v>9</v>
      </c>
    </row>
    <row r="2" spans="1:10" x14ac:dyDescent="0.3">
      <c r="A2" t="s">
        <v>2</v>
      </c>
      <c r="B2" s="1">
        <v>46205</v>
      </c>
      <c r="E2">
        <v>90</v>
      </c>
    </row>
    <row r="3" spans="1:10" x14ac:dyDescent="0.3">
      <c r="A3" t="s">
        <v>13</v>
      </c>
      <c r="B3" s="1">
        <v>46205</v>
      </c>
      <c r="C3">
        <v>40</v>
      </c>
    </row>
    <row r="4" spans="1:10" x14ac:dyDescent="0.3">
      <c r="A4" t="s">
        <v>6</v>
      </c>
      <c r="B4" s="1">
        <v>46205</v>
      </c>
      <c r="E4">
        <v>40</v>
      </c>
    </row>
    <row r="5" spans="1:10" x14ac:dyDescent="0.3">
      <c r="A5" t="s">
        <v>7</v>
      </c>
      <c r="B5" s="1">
        <v>46205</v>
      </c>
      <c r="D5">
        <v>40</v>
      </c>
      <c r="G5">
        <v>12</v>
      </c>
    </row>
    <row r="6" spans="1:10" x14ac:dyDescent="0.3">
      <c r="A6" t="s">
        <v>10</v>
      </c>
      <c r="B6" s="1">
        <v>46206</v>
      </c>
      <c r="H6">
        <v>50</v>
      </c>
    </row>
    <row r="7" spans="1:10" x14ac:dyDescent="0.3">
      <c r="A7" t="s">
        <v>14</v>
      </c>
      <c r="B7" s="1">
        <v>46210</v>
      </c>
      <c r="D7">
        <v>64</v>
      </c>
    </row>
    <row r="8" spans="1:10" s="3" customFormat="1" x14ac:dyDescent="0.3">
      <c r="A8" s="3" t="s">
        <v>15</v>
      </c>
      <c r="B8" s="6">
        <v>46212</v>
      </c>
      <c r="D8" s="3">
        <v>16</v>
      </c>
    </row>
    <row r="9" spans="1:10" x14ac:dyDescent="0.3">
      <c r="A9" t="s">
        <v>17</v>
      </c>
      <c r="B9" s="1">
        <v>46214</v>
      </c>
      <c r="E9">
        <v>40</v>
      </c>
    </row>
    <row r="10" spans="1:10" x14ac:dyDescent="0.3">
      <c r="A10" t="s">
        <v>16</v>
      </c>
      <c r="B10" s="1">
        <v>46214</v>
      </c>
      <c r="E10">
        <v>40</v>
      </c>
    </row>
    <row r="11" spans="1:10" x14ac:dyDescent="0.3">
      <c r="A11" t="s">
        <v>18</v>
      </c>
      <c r="E11">
        <v>520</v>
      </c>
    </row>
    <row r="12" spans="1:10" x14ac:dyDescent="0.3">
      <c r="A12" t="s">
        <v>6</v>
      </c>
      <c r="B12" s="1">
        <v>46219</v>
      </c>
      <c r="E12">
        <v>10</v>
      </c>
    </row>
    <row r="13" spans="1:10" x14ac:dyDescent="0.3">
      <c r="A13" t="s">
        <v>19</v>
      </c>
      <c r="B13" s="1">
        <v>46220</v>
      </c>
      <c r="D13">
        <v>30</v>
      </c>
    </row>
    <row r="14" spans="1:10" x14ac:dyDescent="0.3">
      <c r="A14" t="s">
        <v>20</v>
      </c>
      <c r="B14" s="1">
        <v>46220</v>
      </c>
    </row>
    <row r="15" spans="1:10" x14ac:dyDescent="0.3">
      <c r="A15" t="s">
        <v>21</v>
      </c>
      <c r="B15" s="1">
        <v>46221</v>
      </c>
      <c r="G15">
        <v>20</v>
      </c>
    </row>
    <row r="16" spans="1:10" x14ac:dyDescent="0.3">
      <c r="A16" t="s">
        <v>22</v>
      </c>
      <c r="B16" s="1">
        <v>46224</v>
      </c>
      <c r="F16">
        <v>20</v>
      </c>
    </row>
    <row r="17" spans="1:11" x14ac:dyDescent="0.3">
      <c r="A17" t="s">
        <v>16</v>
      </c>
      <c r="B17" s="1">
        <v>46224</v>
      </c>
      <c r="F17">
        <v>20</v>
      </c>
    </row>
    <row r="18" spans="1:11" x14ac:dyDescent="0.3">
      <c r="A18" t="s">
        <v>20</v>
      </c>
      <c r="B18" s="1">
        <v>46224</v>
      </c>
      <c r="G18">
        <v>40</v>
      </c>
    </row>
    <row r="19" spans="1:11" x14ac:dyDescent="0.3">
      <c r="A19" t="s">
        <v>24</v>
      </c>
      <c r="B19" s="1">
        <v>46230</v>
      </c>
      <c r="D19">
        <v>75</v>
      </c>
      <c r="G19">
        <v>8</v>
      </c>
    </row>
    <row r="20" spans="1:11" x14ac:dyDescent="0.3">
      <c r="A20" t="s">
        <v>25</v>
      </c>
      <c r="B20" s="1">
        <v>46228</v>
      </c>
      <c r="E20">
        <v>40</v>
      </c>
    </row>
    <row r="21" spans="1:11" x14ac:dyDescent="0.3">
      <c r="A21" t="s">
        <v>26</v>
      </c>
      <c r="B21" s="1">
        <v>46227</v>
      </c>
      <c r="E21">
        <v>40</v>
      </c>
    </row>
    <row r="22" spans="1:11" x14ac:dyDescent="0.3">
      <c r="A22" t="s">
        <v>27</v>
      </c>
      <c r="B22" s="1">
        <v>46227</v>
      </c>
      <c r="H22">
        <v>250</v>
      </c>
      <c r="J22">
        <v>50</v>
      </c>
    </row>
    <row r="23" spans="1:11" x14ac:dyDescent="0.3">
      <c r="A23" t="s">
        <v>28</v>
      </c>
      <c r="B23" s="1">
        <v>46227</v>
      </c>
      <c r="C23">
        <v>20</v>
      </c>
    </row>
    <row r="24" spans="1:11" x14ac:dyDescent="0.3">
      <c r="A24" t="s">
        <v>29</v>
      </c>
      <c r="B24" s="1">
        <v>46224</v>
      </c>
      <c r="C24">
        <v>10</v>
      </c>
    </row>
    <row r="25" spans="1:11" x14ac:dyDescent="0.3">
      <c r="A25" t="s">
        <v>7</v>
      </c>
      <c r="B25" s="1">
        <v>46221</v>
      </c>
    </row>
    <row r="26" spans="1:11" x14ac:dyDescent="0.3">
      <c r="A26" t="s">
        <v>30</v>
      </c>
      <c r="B26" s="1">
        <v>46229</v>
      </c>
      <c r="F26">
        <v>9</v>
      </c>
    </row>
    <row r="27" spans="1:11" x14ac:dyDescent="0.3">
      <c r="A27" t="s">
        <v>31</v>
      </c>
      <c r="B27" s="1">
        <v>46228</v>
      </c>
      <c r="E27">
        <v>50</v>
      </c>
      <c r="F27">
        <v>9</v>
      </c>
    </row>
    <row r="28" spans="1:11" x14ac:dyDescent="0.3">
      <c r="A28" t="s">
        <v>32</v>
      </c>
      <c r="B28" s="1">
        <v>46230</v>
      </c>
      <c r="H28">
        <v>50</v>
      </c>
      <c r="J28">
        <v>50</v>
      </c>
    </row>
    <row r="29" spans="1:11" x14ac:dyDescent="0.3">
      <c r="A29" t="s">
        <v>6</v>
      </c>
      <c r="B29" s="1">
        <v>46234</v>
      </c>
      <c r="E29">
        <v>50</v>
      </c>
    </row>
    <row r="30" spans="1:11" x14ac:dyDescent="0.3">
      <c r="A30" t="s">
        <v>33</v>
      </c>
      <c r="B30" s="1">
        <v>46234</v>
      </c>
      <c r="G30">
        <v>30</v>
      </c>
    </row>
    <row r="31" spans="1:11" x14ac:dyDescent="0.3">
      <c r="A31" s="2"/>
      <c r="B31" s="2"/>
      <c r="C31" s="2">
        <v>70</v>
      </c>
      <c r="D31" s="2">
        <f>SUM(D2:D28)</f>
        <v>225</v>
      </c>
      <c r="E31" s="2">
        <v>901</v>
      </c>
      <c r="F31" s="2">
        <f>SUM(F2:F30)</f>
        <v>58</v>
      </c>
      <c r="G31" s="2">
        <v>90</v>
      </c>
      <c r="H31" s="2">
        <v>350</v>
      </c>
      <c r="I31" s="2"/>
      <c r="J31" s="2">
        <v>100</v>
      </c>
      <c r="K31" s="2"/>
    </row>
    <row r="33" spans="3:10" s="4" customFormat="1" x14ac:dyDescent="0.3">
      <c r="C33" s="4">
        <v>350000</v>
      </c>
      <c r="D33" s="4">
        <v>731500</v>
      </c>
      <c r="E33" s="4">
        <v>5586000</v>
      </c>
      <c r="F33" s="4">
        <v>609000</v>
      </c>
      <c r="G33" s="4">
        <v>882000</v>
      </c>
      <c r="H33" s="4">
        <v>1960000</v>
      </c>
      <c r="J33" s="4">
        <v>800000</v>
      </c>
    </row>
    <row r="35" spans="3:10" x14ac:dyDescent="0.3">
      <c r="I35" t="s">
        <v>46</v>
      </c>
      <c r="J35">
        <v>10918500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3CFFC-E7CC-411F-94B2-75732284ED5E}">
  <dimension ref="A1:J36"/>
  <sheetViews>
    <sheetView workbookViewId="0">
      <selection activeCell="A16" sqref="A16:XFD16"/>
    </sheetView>
  </sheetViews>
  <sheetFormatPr baseColWidth="10" defaultRowHeight="14.4" x14ac:dyDescent="0.3"/>
  <cols>
    <col min="1" max="1" width="30.109375" customWidth="1"/>
    <col min="3" max="3" width="17.6640625" customWidth="1"/>
    <col min="4" max="4" width="18.33203125" customWidth="1"/>
    <col min="5" max="5" width="19.6640625" customWidth="1"/>
    <col min="6" max="6" width="20.33203125" customWidth="1"/>
    <col min="7" max="7" width="21.21875" customWidth="1"/>
    <col min="8" max="8" width="16.33203125" customWidth="1"/>
    <col min="9" max="9" width="16" customWidth="1"/>
    <col min="10" max="10" width="14.44140625" customWidth="1"/>
  </cols>
  <sheetData>
    <row r="1" spans="1:10" x14ac:dyDescent="0.3">
      <c r="A1" s="5" t="s">
        <v>0</v>
      </c>
      <c r="B1" s="5" t="s">
        <v>4</v>
      </c>
      <c r="C1" s="5" t="s">
        <v>48</v>
      </c>
      <c r="D1" s="5" t="s">
        <v>11</v>
      </c>
      <c r="E1" s="5" t="s">
        <v>3</v>
      </c>
      <c r="F1" s="5" t="s">
        <v>1</v>
      </c>
      <c r="G1" s="5" t="s">
        <v>23</v>
      </c>
      <c r="H1" s="5" t="s">
        <v>12</v>
      </c>
      <c r="I1" s="5" t="s">
        <v>8</v>
      </c>
      <c r="J1" s="5" t="s">
        <v>9</v>
      </c>
    </row>
    <row r="2" spans="1:10" x14ac:dyDescent="0.3">
      <c r="A2" t="s">
        <v>34</v>
      </c>
      <c r="B2" s="1">
        <v>46235</v>
      </c>
      <c r="E2">
        <v>40</v>
      </c>
    </row>
    <row r="3" spans="1:10" x14ac:dyDescent="0.3">
      <c r="A3" t="s">
        <v>29</v>
      </c>
      <c r="B3" s="1">
        <v>46236</v>
      </c>
      <c r="C3">
        <v>12</v>
      </c>
    </row>
    <row r="4" spans="1:10" x14ac:dyDescent="0.3">
      <c r="A4" t="s">
        <v>18</v>
      </c>
      <c r="B4" s="1">
        <v>46238</v>
      </c>
      <c r="E4">
        <v>110</v>
      </c>
    </row>
    <row r="5" spans="1:10" x14ac:dyDescent="0.3">
      <c r="A5" t="s">
        <v>18</v>
      </c>
      <c r="B5" s="1">
        <v>46244</v>
      </c>
      <c r="E5">
        <v>110</v>
      </c>
    </row>
    <row r="6" spans="1:10" x14ac:dyDescent="0.3">
      <c r="A6" t="s">
        <v>35</v>
      </c>
      <c r="B6" s="1">
        <v>46244</v>
      </c>
      <c r="E6">
        <v>40</v>
      </c>
    </row>
    <row r="7" spans="1:10" x14ac:dyDescent="0.3">
      <c r="A7" t="s">
        <v>36</v>
      </c>
      <c r="B7" s="1">
        <v>46245</v>
      </c>
      <c r="E7">
        <v>15</v>
      </c>
    </row>
    <row r="8" spans="1:10" x14ac:dyDescent="0.3">
      <c r="A8" t="s">
        <v>37</v>
      </c>
      <c r="B8" s="1">
        <v>46245</v>
      </c>
      <c r="F8">
        <v>25</v>
      </c>
    </row>
    <row r="9" spans="1:10" x14ac:dyDescent="0.3">
      <c r="A9" t="s">
        <v>38</v>
      </c>
      <c r="B9" s="1">
        <v>46245</v>
      </c>
      <c r="F9">
        <v>20</v>
      </c>
    </row>
    <row r="10" spans="1:10" x14ac:dyDescent="0.3">
      <c r="A10" t="s">
        <v>7</v>
      </c>
      <c r="B10" s="1">
        <v>46245</v>
      </c>
      <c r="D10">
        <v>25</v>
      </c>
      <c r="G10">
        <v>40</v>
      </c>
    </row>
    <row r="11" spans="1:10" x14ac:dyDescent="0.3">
      <c r="A11" t="s">
        <v>20</v>
      </c>
      <c r="B11" s="1">
        <v>46247</v>
      </c>
      <c r="D11">
        <v>40</v>
      </c>
    </row>
    <row r="12" spans="1:10" x14ac:dyDescent="0.3">
      <c r="A12" t="s">
        <v>39</v>
      </c>
      <c r="B12" s="1">
        <v>46247</v>
      </c>
      <c r="D12">
        <v>60</v>
      </c>
      <c r="G12">
        <v>20</v>
      </c>
    </row>
    <row r="13" spans="1:10" x14ac:dyDescent="0.3">
      <c r="A13" t="s">
        <v>40</v>
      </c>
      <c r="B13" s="1">
        <v>46252</v>
      </c>
      <c r="E13">
        <v>60</v>
      </c>
    </row>
    <row r="14" spans="1:10" x14ac:dyDescent="0.3">
      <c r="A14" t="s">
        <v>39</v>
      </c>
      <c r="B14" s="1">
        <v>46251</v>
      </c>
      <c r="G14">
        <v>17</v>
      </c>
    </row>
    <row r="15" spans="1:10" x14ac:dyDescent="0.3">
      <c r="A15" t="s">
        <v>34</v>
      </c>
      <c r="B15" s="1">
        <v>46258</v>
      </c>
      <c r="E15">
        <v>40</v>
      </c>
    </row>
    <row r="16" spans="1:10" s="3" customFormat="1" x14ac:dyDescent="0.3">
      <c r="A16" s="3" t="s">
        <v>52</v>
      </c>
      <c r="B16" s="6">
        <v>46258</v>
      </c>
      <c r="E16" s="3">
        <v>11</v>
      </c>
      <c r="G16" s="3">
        <v>5</v>
      </c>
    </row>
    <row r="17" spans="1:9" x14ac:dyDescent="0.3">
      <c r="A17" t="s">
        <v>18</v>
      </c>
      <c r="B17" s="1">
        <v>46258</v>
      </c>
      <c r="E17">
        <v>110</v>
      </c>
    </row>
    <row r="18" spans="1:9" x14ac:dyDescent="0.3">
      <c r="A18" t="s">
        <v>41</v>
      </c>
      <c r="B18" s="1">
        <v>46258</v>
      </c>
      <c r="E18">
        <v>50</v>
      </c>
    </row>
    <row r="19" spans="1:9" x14ac:dyDescent="0.3">
      <c r="A19" t="s">
        <v>6</v>
      </c>
      <c r="B19" s="1">
        <v>46259</v>
      </c>
      <c r="E19">
        <v>40</v>
      </c>
    </row>
    <row r="20" spans="1:9" x14ac:dyDescent="0.3">
      <c r="A20" t="s">
        <v>49</v>
      </c>
      <c r="B20" s="1">
        <v>46259</v>
      </c>
      <c r="C20">
        <v>15</v>
      </c>
    </row>
    <row r="21" spans="1:9" x14ac:dyDescent="0.3">
      <c r="A21" t="s">
        <v>45</v>
      </c>
      <c r="B21" t="s">
        <v>42</v>
      </c>
      <c r="D21">
        <v>40</v>
      </c>
    </row>
    <row r="22" spans="1:9" x14ac:dyDescent="0.3">
      <c r="A22" t="s">
        <v>20</v>
      </c>
      <c r="B22" s="1">
        <v>46261</v>
      </c>
      <c r="D22">
        <v>40</v>
      </c>
    </row>
    <row r="23" spans="1:9" x14ac:dyDescent="0.3">
      <c r="A23" t="s">
        <v>39</v>
      </c>
      <c r="B23" s="1">
        <v>46261</v>
      </c>
      <c r="D23">
        <v>96</v>
      </c>
    </row>
    <row r="24" spans="1:9" x14ac:dyDescent="0.3">
      <c r="A24" t="s">
        <v>33</v>
      </c>
      <c r="B24" s="1">
        <v>46262</v>
      </c>
      <c r="D24">
        <v>20</v>
      </c>
      <c r="G24">
        <v>40</v>
      </c>
    </row>
    <row r="25" spans="1:9" x14ac:dyDescent="0.3">
      <c r="A25" t="s">
        <v>19</v>
      </c>
      <c r="B25" s="1">
        <v>46249</v>
      </c>
      <c r="D25">
        <v>15</v>
      </c>
    </row>
    <row r="26" spans="1:9" x14ac:dyDescent="0.3">
      <c r="A26" t="s">
        <v>43</v>
      </c>
      <c r="B26" s="1">
        <v>46262</v>
      </c>
      <c r="F26">
        <v>15</v>
      </c>
      <c r="H26">
        <v>50</v>
      </c>
      <c r="I26">
        <v>50</v>
      </c>
    </row>
    <row r="27" spans="1:9" x14ac:dyDescent="0.3">
      <c r="A27" t="s">
        <v>21</v>
      </c>
      <c r="B27" s="1">
        <v>46263</v>
      </c>
      <c r="E27">
        <v>90</v>
      </c>
    </row>
    <row r="28" spans="1:9" x14ac:dyDescent="0.3">
      <c r="A28" t="s">
        <v>44</v>
      </c>
      <c r="B28" s="1">
        <v>46263</v>
      </c>
    </row>
    <row r="29" spans="1:9" x14ac:dyDescent="0.3">
      <c r="A29" t="s">
        <v>39</v>
      </c>
      <c r="B29" s="1">
        <v>46264</v>
      </c>
      <c r="D29">
        <v>75</v>
      </c>
    </row>
    <row r="30" spans="1:9" x14ac:dyDescent="0.3">
      <c r="A30" t="s">
        <v>29</v>
      </c>
      <c r="B30" s="1">
        <v>46263</v>
      </c>
      <c r="C30">
        <v>12</v>
      </c>
    </row>
    <row r="31" spans="1:9" s="3" customFormat="1" x14ac:dyDescent="0.3">
      <c r="C31" s="3">
        <f>SUM(C2:C30)</f>
        <v>39</v>
      </c>
      <c r="D31" s="3">
        <f>SUM(D2:D30)</f>
        <v>411</v>
      </c>
      <c r="E31" s="3">
        <f>SUM(E2:E30)</f>
        <v>716</v>
      </c>
      <c r="F31" s="3">
        <v>60</v>
      </c>
      <c r="G31" s="3">
        <f>SUM(G2:G30)</f>
        <v>122</v>
      </c>
      <c r="H31" s="3">
        <v>50</v>
      </c>
      <c r="I31" s="3">
        <v>50</v>
      </c>
    </row>
    <row r="33" spans="3:9" s="4" customFormat="1" x14ac:dyDescent="0.3">
      <c r="C33" s="4">
        <v>320000</v>
      </c>
      <c r="D33" s="4">
        <v>1278000</v>
      </c>
      <c r="E33" s="4">
        <v>4371000</v>
      </c>
      <c r="F33" s="4">
        <v>630000</v>
      </c>
      <c r="G33" s="4">
        <v>1146000</v>
      </c>
      <c r="H33" s="4">
        <v>290000</v>
      </c>
      <c r="I33" s="4">
        <v>290000</v>
      </c>
    </row>
    <row r="36" spans="3:9" x14ac:dyDescent="0.3">
      <c r="H36" t="s">
        <v>47</v>
      </c>
      <c r="I36">
        <v>8305000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7873-9CED-44B9-8AC6-096C6BD8E652}">
  <dimension ref="A1:M47"/>
  <sheetViews>
    <sheetView topLeftCell="A10" workbookViewId="0">
      <selection activeCell="D13" sqref="D13"/>
    </sheetView>
  </sheetViews>
  <sheetFormatPr baseColWidth="10" defaultRowHeight="14.4" x14ac:dyDescent="0.3"/>
  <cols>
    <col min="1" max="1" width="29.21875" customWidth="1"/>
    <col min="3" max="3" width="23.109375" customWidth="1"/>
    <col min="4" max="4" width="16.33203125" customWidth="1"/>
    <col min="5" max="5" width="16.6640625" customWidth="1"/>
    <col min="6" max="6" width="14.88671875" customWidth="1"/>
    <col min="7" max="7" width="19.44140625" customWidth="1"/>
    <col min="8" max="8" width="18.109375" customWidth="1"/>
    <col min="9" max="9" width="23.21875" customWidth="1"/>
    <col min="10" max="10" width="13.77734375" customWidth="1"/>
    <col min="11" max="11" width="16" customWidth="1"/>
    <col min="12" max="12" width="22.6640625" customWidth="1"/>
  </cols>
  <sheetData>
    <row r="1" spans="1:13" x14ac:dyDescent="0.3">
      <c r="A1" s="5" t="s">
        <v>0</v>
      </c>
      <c r="B1" s="5" t="s">
        <v>4</v>
      </c>
      <c r="C1" s="5" t="s">
        <v>48</v>
      </c>
      <c r="D1" s="5" t="s">
        <v>11</v>
      </c>
      <c r="E1" s="5" t="s">
        <v>3</v>
      </c>
      <c r="F1" s="5" t="s">
        <v>1</v>
      </c>
      <c r="G1" s="5" t="s">
        <v>23</v>
      </c>
      <c r="H1" s="5" t="s">
        <v>50</v>
      </c>
      <c r="I1" s="5" t="s">
        <v>51</v>
      </c>
      <c r="J1" s="5" t="s">
        <v>12</v>
      </c>
      <c r="K1" s="5" t="s">
        <v>8</v>
      </c>
      <c r="L1" s="5" t="s">
        <v>9</v>
      </c>
      <c r="M1" s="5" t="s">
        <v>55</v>
      </c>
    </row>
    <row r="2" spans="1:13" x14ac:dyDescent="0.3">
      <c r="A2" t="s">
        <v>53</v>
      </c>
      <c r="B2" s="1">
        <v>46271</v>
      </c>
      <c r="E2">
        <v>60</v>
      </c>
    </row>
    <row r="3" spans="1:13" x14ac:dyDescent="0.3">
      <c r="B3" s="1"/>
    </row>
    <row r="4" spans="1:13" x14ac:dyDescent="0.3">
      <c r="A4" t="s">
        <v>16</v>
      </c>
      <c r="B4" s="1">
        <v>46269</v>
      </c>
      <c r="F4">
        <v>15</v>
      </c>
    </row>
    <row r="5" spans="1:13" x14ac:dyDescent="0.3">
      <c r="A5" t="s">
        <v>54</v>
      </c>
      <c r="B5" s="1">
        <v>46270</v>
      </c>
      <c r="F5">
        <v>20</v>
      </c>
    </row>
    <row r="6" spans="1:13" x14ac:dyDescent="0.3">
      <c r="A6" t="s">
        <v>24</v>
      </c>
      <c r="B6" s="1">
        <v>46272</v>
      </c>
      <c r="D6">
        <v>42</v>
      </c>
      <c r="M6">
        <v>25</v>
      </c>
    </row>
    <row r="7" spans="1:13" x14ac:dyDescent="0.3">
      <c r="A7" t="s">
        <v>56</v>
      </c>
      <c r="B7" s="1">
        <v>46272</v>
      </c>
      <c r="D7">
        <v>100</v>
      </c>
      <c r="H7">
        <v>100</v>
      </c>
    </row>
    <row r="8" spans="1:13" x14ac:dyDescent="0.3">
      <c r="A8" t="s">
        <v>57</v>
      </c>
      <c r="B8" s="1">
        <v>46272</v>
      </c>
      <c r="E8">
        <v>110</v>
      </c>
    </row>
    <row r="9" spans="1:13" x14ac:dyDescent="0.3">
      <c r="A9" t="s">
        <v>58</v>
      </c>
      <c r="B9" s="1">
        <v>46269</v>
      </c>
      <c r="E9">
        <v>40</v>
      </c>
    </row>
    <row r="10" spans="1:13" x14ac:dyDescent="0.3">
      <c r="A10" t="s">
        <v>59</v>
      </c>
      <c r="B10" s="1">
        <v>46273</v>
      </c>
      <c r="E10">
        <v>40</v>
      </c>
    </row>
    <row r="11" spans="1:13" x14ac:dyDescent="0.3">
      <c r="A11" t="s">
        <v>60</v>
      </c>
      <c r="B11" s="1">
        <v>46272</v>
      </c>
      <c r="F11">
        <v>6</v>
      </c>
    </row>
    <row r="12" spans="1:13" x14ac:dyDescent="0.3">
      <c r="A12" t="s">
        <v>61</v>
      </c>
      <c r="B12" s="1">
        <v>46272</v>
      </c>
      <c r="D12">
        <v>30</v>
      </c>
    </row>
    <row r="13" spans="1:13" x14ac:dyDescent="0.3">
      <c r="A13" t="s">
        <v>64</v>
      </c>
      <c r="B13" s="1">
        <v>46273</v>
      </c>
    </row>
    <row r="14" spans="1:13" x14ac:dyDescent="0.3">
      <c r="A14" t="s">
        <v>35</v>
      </c>
      <c r="B14" s="1">
        <v>46273</v>
      </c>
      <c r="E14">
        <v>40</v>
      </c>
    </row>
    <row r="15" spans="1:13" x14ac:dyDescent="0.3">
      <c r="A15" t="s">
        <v>62</v>
      </c>
      <c r="B15" s="1">
        <v>46274</v>
      </c>
      <c r="E15">
        <v>30</v>
      </c>
    </row>
    <row r="16" spans="1:13" x14ac:dyDescent="0.3">
      <c r="A16" t="s">
        <v>24</v>
      </c>
      <c r="B16" s="1">
        <v>46274</v>
      </c>
      <c r="D16">
        <v>36</v>
      </c>
    </row>
    <row r="17" spans="1:12" x14ac:dyDescent="0.3">
      <c r="A17" t="s">
        <v>63</v>
      </c>
      <c r="B17" s="1">
        <v>46276</v>
      </c>
      <c r="J17">
        <v>250</v>
      </c>
      <c r="L17">
        <v>25</v>
      </c>
    </row>
    <row r="18" spans="1:12" x14ac:dyDescent="0.3">
      <c r="A18" t="s">
        <v>18</v>
      </c>
      <c r="B18" s="1">
        <v>46279</v>
      </c>
      <c r="E18">
        <v>110</v>
      </c>
    </row>
    <row r="19" spans="1:12" x14ac:dyDescent="0.3">
      <c r="A19" t="s">
        <v>29</v>
      </c>
      <c r="B19" s="1">
        <v>46279</v>
      </c>
      <c r="C19">
        <v>12</v>
      </c>
    </row>
    <row r="20" spans="1:12" x14ac:dyDescent="0.3">
      <c r="A20" t="s">
        <v>64</v>
      </c>
      <c r="B20" s="1">
        <v>46281</v>
      </c>
      <c r="D20">
        <v>70</v>
      </c>
    </row>
    <row r="21" spans="1:12" x14ac:dyDescent="0.3">
      <c r="A21" t="s">
        <v>65</v>
      </c>
      <c r="B21" s="1">
        <v>46281</v>
      </c>
      <c r="E21">
        <v>60</v>
      </c>
    </row>
    <row r="22" spans="1:12" x14ac:dyDescent="0.3">
      <c r="A22" t="s">
        <v>37</v>
      </c>
      <c r="B22" s="1">
        <v>46282</v>
      </c>
      <c r="D22">
        <v>20</v>
      </c>
      <c r="F22">
        <v>20</v>
      </c>
    </row>
    <row r="23" spans="1:12" x14ac:dyDescent="0.3">
      <c r="A23" t="s">
        <v>66</v>
      </c>
      <c r="B23" s="1">
        <v>46282</v>
      </c>
    </row>
    <row r="24" spans="1:12" x14ac:dyDescent="0.3">
      <c r="A24" t="s">
        <v>69</v>
      </c>
      <c r="B24" s="1">
        <v>46284</v>
      </c>
      <c r="C24">
        <v>24</v>
      </c>
    </row>
    <row r="25" spans="1:12" x14ac:dyDescent="0.3">
      <c r="A25" t="s">
        <v>67</v>
      </c>
      <c r="B25" s="1">
        <v>46281</v>
      </c>
      <c r="E25">
        <v>40</v>
      </c>
    </row>
    <row r="26" spans="1:12" x14ac:dyDescent="0.3">
      <c r="A26" t="s">
        <v>24</v>
      </c>
      <c r="B26" s="1">
        <v>46282</v>
      </c>
      <c r="D26">
        <v>70</v>
      </c>
    </row>
    <row r="27" spans="1:12" x14ac:dyDescent="0.3">
      <c r="A27" t="s">
        <v>68</v>
      </c>
      <c r="B27" s="1">
        <v>46282</v>
      </c>
      <c r="E27">
        <v>50</v>
      </c>
    </row>
    <row r="28" spans="1:12" x14ac:dyDescent="0.3">
      <c r="A28" t="s">
        <v>69</v>
      </c>
      <c r="B28" s="1">
        <v>46284</v>
      </c>
      <c r="E28">
        <v>12</v>
      </c>
    </row>
    <row r="29" spans="1:12" s="3" customFormat="1" x14ac:dyDescent="0.3">
      <c r="A29" s="3" t="s">
        <v>52</v>
      </c>
      <c r="B29" s="6">
        <v>46285</v>
      </c>
      <c r="C29" s="3">
        <v>36</v>
      </c>
      <c r="F29" s="3">
        <v>7</v>
      </c>
    </row>
    <row r="30" spans="1:12" x14ac:dyDescent="0.3">
      <c r="A30" t="s">
        <v>18</v>
      </c>
      <c r="B30" s="1">
        <v>46286</v>
      </c>
      <c r="E30">
        <v>110</v>
      </c>
    </row>
    <row r="31" spans="1:12" x14ac:dyDescent="0.3">
      <c r="A31" t="s">
        <v>70</v>
      </c>
      <c r="B31" s="1">
        <v>46280</v>
      </c>
      <c r="C31">
        <v>18</v>
      </c>
    </row>
    <row r="32" spans="1:12" x14ac:dyDescent="0.3">
      <c r="A32" t="s">
        <v>54</v>
      </c>
      <c r="B32" s="1">
        <v>46288</v>
      </c>
      <c r="C32">
        <v>20</v>
      </c>
      <c r="F32">
        <v>20</v>
      </c>
    </row>
    <row r="33" spans="1:13" x14ac:dyDescent="0.3">
      <c r="A33" t="s">
        <v>24</v>
      </c>
      <c r="B33" s="1">
        <v>46288</v>
      </c>
      <c r="D33">
        <v>38</v>
      </c>
    </row>
    <row r="34" spans="1:13" x14ac:dyDescent="0.3">
      <c r="A34" t="s">
        <v>71</v>
      </c>
      <c r="B34" s="1">
        <v>46289</v>
      </c>
      <c r="E34">
        <v>100</v>
      </c>
      <c r="I34">
        <v>100</v>
      </c>
    </row>
    <row r="35" spans="1:13" x14ac:dyDescent="0.3">
      <c r="A35" t="s">
        <v>72</v>
      </c>
      <c r="B35" s="1">
        <v>46290</v>
      </c>
      <c r="F35">
        <v>20</v>
      </c>
    </row>
    <row r="36" spans="1:13" x14ac:dyDescent="0.3">
      <c r="A36" t="s">
        <v>73</v>
      </c>
      <c r="B36" s="1">
        <v>46289</v>
      </c>
    </row>
    <row r="37" spans="1:13" x14ac:dyDescent="0.3">
      <c r="A37" t="s">
        <v>74</v>
      </c>
      <c r="B37" s="1">
        <v>46290</v>
      </c>
      <c r="E37">
        <v>50</v>
      </c>
    </row>
    <row r="38" spans="1:13" x14ac:dyDescent="0.3">
      <c r="A38" t="s">
        <v>18</v>
      </c>
      <c r="B38" s="1">
        <v>46294</v>
      </c>
      <c r="E38">
        <v>56</v>
      </c>
    </row>
    <row r="39" spans="1:13" x14ac:dyDescent="0.3">
      <c r="A39" t="s">
        <v>75</v>
      </c>
      <c r="B39" s="1">
        <v>46294</v>
      </c>
      <c r="K39">
        <v>100</v>
      </c>
    </row>
    <row r="40" spans="1:13" x14ac:dyDescent="0.3">
      <c r="A40" t="s">
        <v>76</v>
      </c>
      <c r="B40" s="1">
        <v>46295</v>
      </c>
      <c r="D40">
        <v>30</v>
      </c>
      <c r="E40">
        <v>40</v>
      </c>
    </row>
    <row r="41" spans="1:13" x14ac:dyDescent="0.3">
      <c r="A41" t="s">
        <v>67</v>
      </c>
      <c r="B41" s="1">
        <v>46295</v>
      </c>
      <c r="D41">
        <f>SUM(D2:D40)</f>
        <v>436</v>
      </c>
    </row>
    <row r="42" spans="1:13" x14ac:dyDescent="0.3">
      <c r="C42">
        <f>SUM(C2:C41)</f>
        <v>110</v>
      </c>
      <c r="E42">
        <f>SUM(E2:E41)</f>
        <v>948</v>
      </c>
      <c r="F42">
        <f>SUM(F2:F41)</f>
        <v>108</v>
      </c>
      <c r="H42">
        <f t="shared" ref="H42:M42" si="0">SUM(H2:H41)</f>
        <v>100</v>
      </c>
      <c r="I42">
        <f t="shared" si="0"/>
        <v>100</v>
      </c>
      <c r="J42">
        <f t="shared" si="0"/>
        <v>250</v>
      </c>
      <c r="K42">
        <f t="shared" si="0"/>
        <v>100</v>
      </c>
      <c r="L42">
        <f t="shared" si="0"/>
        <v>25</v>
      </c>
      <c r="M42">
        <f t="shared" si="0"/>
        <v>25</v>
      </c>
    </row>
    <row r="44" spans="1:13" s="4" customFormat="1" x14ac:dyDescent="0.3">
      <c r="C44" s="4">
        <v>550000</v>
      </c>
      <c r="D44" s="4">
        <v>1526000</v>
      </c>
      <c r="E44" s="4">
        <v>5877600</v>
      </c>
      <c r="F44" s="4">
        <v>1134000</v>
      </c>
      <c r="H44" s="4">
        <v>350000</v>
      </c>
      <c r="I44" s="4">
        <v>620000</v>
      </c>
      <c r="J44" s="4">
        <v>1400000</v>
      </c>
      <c r="K44" s="4">
        <v>620000</v>
      </c>
      <c r="L44" s="4">
        <v>205000</v>
      </c>
      <c r="M44" s="4">
        <v>87500</v>
      </c>
    </row>
    <row r="47" spans="1:13" x14ac:dyDescent="0.3">
      <c r="C47" t="s">
        <v>77</v>
      </c>
      <c r="D47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F0082-1674-4670-AE2A-765C5A336BA3}">
  <dimension ref="A1:N41"/>
  <sheetViews>
    <sheetView tabSelected="1" topLeftCell="A18" workbookViewId="0">
      <selection activeCell="A31" sqref="A31:B41"/>
    </sheetView>
  </sheetViews>
  <sheetFormatPr baseColWidth="10" defaultRowHeight="14.4" x14ac:dyDescent="0.3"/>
  <cols>
    <col min="1" max="1" width="19.21875" customWidth="1"/>
    <col min="4" max="4" width="12.77734375" customWidth="1"/>
    <col min="8" max="8" width="13.88671875" customWidth="1"/>
    <col min="9" max="9" width="15.33203125" customWidth="1"/>
  </cols>
  <sheetData>
    <row r="1" spans="1:14" x14ac:dyDescent="0.3">
      <c r="A1" s="5" t="s">
        <v>0</v>
      </c>
      <c r="B1" s="5" t="s">
        <v>4</v>
      </c>
      <c r="C1" s="5" t="s">
        <v>98</v>
      </c>
      <c r="D1" s="5" t="s">
        <v>99</v>
      </c>
      <c r="E1" s="5" t="s">
        <v>100</v>
      </c>
      <c r="F1" s="5" t="s">
        <v>1</v>
      </c>
      <c r="G1" s="5" t="s">
        <v>23</v>
      </c>
      <c r="H1" s="5" t="s">
        <v>50</v>
      </c>
      <c r="I1" s="5" t="s">
        <v>51</v>
      </c>
      <c r="J1" s="5" t="s">
        <v>12</v>
      </c>
      <c r="K1" s="5" t="s">
        <v>8</v>
      </c>
      <c r="L1" s="5" t="s">
        <v>9</v>
      </c>
      <c r="M1" s="5" t="s">
        <v>55</v>
      </c>
      <c r="N1" s="5" t="s">
        <v>97</v>
      </c>
    </row>
    <row r="2" spans="1:14" x14ac:dyDescent="0.3">
      <c r="A2" t="s">
        <v>79</v>
      </c>
      <c r="B2" s="1">
        <v>46296</v>
      </c>
      <c r="F2">
        <v>20</v>
      </c>
    </row>
    <row r="3" spans="1:14" x14ac:dyDescent="0.3">
      <c r="A3" t="s">
        <v>20</v>
      </c>
      <c r="B3" s="1">
        <v>46296</v>
      </c>
      <c r="D3">
        <v>50</v>
      </c>
    </row>
    <row r="4" spans="1:14" x14ac:dyDescent="0.3">
      <c r="A4" t="s">
        <v>24</v>
      </c>
      <c r="B4" s="1">
        <v>46296</v>
      </c>
      <c r="D4">
        <v>90</v>
      </c>
      <c r="G4">
        <v>10</v>
      </c>
    </row>
    <row r="5" spans="1:14" x14ac:dyDescent="0.3">
      <c r="A5" t="s">
        <v>80</v>
      </c>
      <c r="B5" s="1">
        <v>46296</v>
      </c>
      <c r="E5">
        <v>90</v>
      </c>
    </row>
    <row r="6" spans="1:14" x14ac:dyDescent="0.3">
      <c r="A6" t="s">
        <v>71</v>
      </c>
      <c r="B6" s="1">
        <v>46296</v>
      </c>
      <c r="E6">
        <v>200</v>
      </c>
      <c r="I6">
        <v>200</v>
      </c>
    </row>
    <row r="7" spans="1:14" x14ac:dyDescent="0.3">
      <c r="A7" t="s">
        <v>81</v>
      </c>
      <c r="B7" s="1">
        <v>46296</v>
      </c>
      <c r="E7">
        <v>50</v>
      </c>
    </row>
    <row r="8" spans="1:14" x14ac:dyDescent="0.3">
      <c r="A8" t="s">
        <v>82</v>
      </c>
      <c r="B8" s="1">
        <v>46296</v>
      </c>
      <c r="E8">
        <v>40</v>
      </c>
      <c r="I8">
        <v>6</v>
      </c>
    </row>
    <row r="9" spans="1:14" x14ac:dyDescent="0.3">
      <c r="A9" t="s">
        <v>31</v>
      </c>
      <c r="B9" s="1">
        <v>46296</v>
      </c>
      <c r="E9">
        <v>80</v>
      </c>
    </row>
    <row r="10" spans="1:14" x14ac:dyDescent="0.3">
      <c r="A10" t="s">
        <v>88</v>
      </c>
      <c r="B10" s="1">
        <v>46297</v>
      </c>
      <c r="G10">
        <v>20</v>
      </c>
    </row>
    <row r="11" spans="1:14" x14ac:dyDescent="0.3">
      <c r="A11" t="s">
        <v>83</v>
      </c>
      <c r="B11" s="1">
        <v>46297</v>
      </c>
      <c r="D11">
        <v>48</v>
      </c>
    </row>
    <row r="12" spans="1:14" x14ac:dyDescent="0.3">
      <c r="A12" t="s">
        <v>57</v>
      </c>
      <c r="B12" s="1">
        <v>46298</v>
      </c>
      <c r="E12">
        <v>0</v>
      </c>
    </row>
    <row r="13" spans="1:14" x14ac:dyDescent="0.3">
      <c r="A13" t="s">
        <v>56</v>
      </c>
      <c r="B13" s="1">
        <v>46300</v>
      </c>
      <c r="D13">
        <v>50</v>
      </c>
      <c r="H13">
        <v>70</v>
      </c>
    </row>
    <row r="14" spans="1:14" x14ac:dyDescent="0.3">
      <c r="A14" t="s">
        <v>64</v>
      </c>
      <c r="B14" s="1">
        <v>46300</v>
      </c>
      <c r="D14">
        <v>90</v>
      </c>
    </row>
    <row r="15" spans="1:14" x14ac:dyDescent="0.3">
      <c r="A15" t="s">
        <v>18</v>
      </c>
      <c r="B15" s="1">
        <v>46301</v>
      </c>
      <c r="E15">
        <v>110</v>
      </c>
    </row>
    <row r="16" spans="1:14" x14ac:dyDescent="0.3">
      <c r="A16" t="s">
        <v>64</v>
      </c>
      <c r="B16" s="1">
        <v>46303</v>
      </c>
      <c r="D16">
        <v>89</v>
      </c>
    </row>
    <row r="17" spans="1:9" x14ac:dyDescent="0.3">
      <c r="A17" t="s">
        <v>84</v>
      </c>
      <c r="B17" s="1">
        <v>46303</v>
      </c>
      <c r="E17">
        <v>100</v>
      </c>
    </row>
    <row r="18" spans="1:9" x14ac:dyDescent="0.3">
      <c r="A18" t="s">
        <v>24</v>
      </c>
      <c r="B18" s="1">
        <v>46303</v>
      </c>
      <c r="D18">
        <v>50</v>
      </c>
    </row>
    <row r="19" spans="1:9" x14ac:dyDescent="0.3">
      <c r="A19" t="s">
        <v>85</v>
      </c>
      <c r="B19" s="1">
        <v>46304</v>
      </c>
      <c r="I19">
        <v>40</v>
      </c>
    </row>
    <row r="20" spans="1:9" x14ac:dyDescent="0.3">
      <c r="A20" t="s">
        <v>73</v>
      </c>
      <c r="B20" s="1">
        <v>46305</v>
      </c>
      <c r="D20">
        <v>46</v>
      </c>
      <c r="G20">
        <v>20</v>
      </c>
    </row>
    <row r="21" spans="1:9" x14ac:dyDescent="0.3">
      <c r="A21" t="s">
        <v>86</v>
      </c>
      <c r="B21" s="1">
        <v>46304</v>
      </c>
      <c r="C21">
        <v>40</v>
      </c>
      <c r="F21">
        <v>5</v>
      </c>
    </row>
    <row r="22" spans="1:9" x14ac:dyDescent="0.3">
      <c r="A22" t="s">
        <v>87</v>
      </c>
      <c r="B22" s="1">
        <v>46306</v>
      </c>
      <c r="D22">
        <v>40</v>
      </c>
    </row>
    <row r="23" spans="1:9" x14ac:dyDescent="0.3">
      <c r="A23" t="s">
        <v>93</v>
      </c>
      <c r="B23" s="1">
        <v>46307</v>
      </c>
      <c r="E23">
        <v>90</v>
      </c>
    </row>
    <row r="24" spans="1:9" x14ac:dyDescent="0.3">
      <c r="A24" t="s">
        <v>88</v>
      </c>
      <c r="B24" s="1">
        <v>46307</v>
      </c>
      <c r="G24">
        <v>30</v>
      </c>
    </row>
    <row r="25" spans="1:9" x14ac:dyDescent="0.3">
      <c r="A25" t="s">
        <v>52</v>
      </c>
      <c r="B25" s="1">
        <v>46309</v>
      </c>
      <c r="C25">
        <v>42</v>
      </c>
      <c r="F25">
        <v>5</v>
      </c>
    </row>
    <row r="26" spans="1:9" x14ac:dyDescent="0.3">
      <c r="A26" t="s">
        <v>24</v>
      </c>
      <c r="B26" s="1">
        <v>46310</v>
      </c>
      <c r="D26">
        <v>110</v>
      </c>
      <c r="G26">
        <v>15</v>
      </c>
    </row>
    <row r="27" spans="1:9" x14ac:dyDescent="0.3">
      <c r="A27" t="s">
        <v>89</v>
      </c>
      <c r="B27" s="1">
        <v>46310</v>
      </c>
      <c r="E27">
        <v>45</v>
      </c>
    </row>
    <row r="28" spans="1:9" x14ac:dyDescent="0.3">
      <c r="A28" t="s">
        <v>90</v>
      </c>
      <c r="B28" s="1">
        <v>46309</v>
      </c>
      <c r="D28">
        <v>24</v>
      </c>
    </row>
    <row r="29" spans="1:9" x14ac:dyDescent="0.3">
      <c r="A29" t="s">
        <v>91</v>
      </c>
      <c r="B29" s="1">
        <v>46310</v>
      </c>
      <c r="E29">
        <v>40</v>
      </c>
    </row>
    <row r="30" spans="1:9" x14ac:dyDescent="0.3">
      <c r="A30" t="s">
        <v>92</v>
      </c>
      <c r="B30" s="1">
        <v>46312</v>
      </c>
      <c r="E30">
        <v>50</v>
      </c>
    </row>
    <row r="31" spans="1:9" x14ac:dyDescent="0.3">
      <c r="A31" t="s">
        <v>54</v>
      </c>
      <c r="B31" s="1">
        <v>46318</v>
      </c>
      <c r="F31">
        <v>20</v>
      </c>
    </row>
    <row r="32" spans="1:9" x14ac:dyDescent="0.3">
      <c r="A32" t="s">
        <v>94</v>
      </c>
      <c r="B32" s="1">
        <v>46314</v>
      </c>
      <c r="E32">
        <v>50</v>
      </c>
    </row>
    <row r="33" spans="1:14" x14ac:dyDescent="0.3">
      <c r="A33" t="s">
        <v>18</v>
      </c>
      <c r="B33" s="1">
        <v>46314</v>
      </c>
      <c r="E33">
        <v>110</v>
      </c>
    </row>
    <row r="34" spans="1:14" x14ac:dyDescent="0.3">
      <c r="A34" t="s">
        <v>24</v>
      </c>
      <c r="B34" s="1">
        <v>46316</v>
      </c>
      <c r="G34">
        <v>100</v>
      </c>
    </row>
    <row r="35" spans="1:14" x14ac:dyDescent="0.3">
      <c r="A35" t="s">
        <v>95</v>
      </c>
      <c r="B35" s="1">
        <v>46316</v>
      </c>
      <c r="F35">
        <v>20</v>
      </c>
    </row>
    <row r="36" spans="1:14" x14ac:dyDescent="0.3">
      <c r="A36" t="s">
        <v>96</v>
      </c>
      <c r="B36" s="1">
        <v>46316</v>
      </c>
      <c r="E36">
        <v>20</v>
      </c>
      <c r="I36">
        <v>20</v>
      </c>
    </row>
    <row r="37" spans="1:14" x14ac:dyDescent="0.3">
      <c r="A37" t="s">
        <v>56</v>
      </c>
      <c r="B37" s="1">
        <v>46317</v>
      </c>
      <c r="D37">
        <v>30</v>
      </c>
      <c r="H37">
        <v>50</v>
      </c>
      <c r="N37">
        <v>20</v>
      </c>
    </row>
    <row r="38" spans="1:14" x14ac:dyDescent="0.3">
      <c r="A38" t="s">
        <v>21</v>
      </c>
      <c r="B38" s="1">
        <v>46317</v>
      </c>
    </row>
    <row r="39" spans="1:14" x14ac:dyDescent="0.3">
      <c r="A39" t="s">
        <v>101</v>
      </c>
      <c r="B39" s="1">
        <v>46317</v>
      </c>
      <c r="D39">
        <v>45</v>
      </c>
    </row>
    <row r="40" spans="1:14" x14ac:dyDescent="0.3">
      <c r="A40" t="s">
        <v>102</v>
      </c>
      <c r="B40" s="1">
        <v>46318</v>
      </c>
      <c r="C40">
        <v>20</v>
      </c>
    </row>
    <row r="41" spans="1:14" x14ac:dyDescent="0.3">
      <c r="A41" t="s">
        <v>85</v>
      </c>
      <c r="B41" s="1">
        <v>46319</v>
      </c>
      <c r="D41">
        <v>30</v>
      </c>
      <c r="F4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JULIO</vt:lpstr>
      <vt:lpstr>AGOSTO</vt:lpstr>
      <vt:lpstr>SEPT.</vt:lpstr>
      <vt:lpstr>OCT.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CRISTINA RAMIREZ GONZALEZ</dc:creator>
  <cp:lastModifiedBy>SARA CRISTINA RAMIREZ GONZALEZ</cp:lastModifiedBy>
  <dcterms:created xsi:type="dcterms:W3CDTF">2026-07-29T22:28:07Z</dcterms:created>
  <dcterms:modified xsi:type="dcterms:W3CDTF">2026-10-25T12:18:31Z</dcterms:modified>
</cp:coreProperties>
</file>